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Гуровиц Владимир\tmp\Прогнозирование_и_моделирование\"/>
    </mc:Choice>
  </mc:AlternateContent>
  <xr:revisionPtr revIDLastSave="0" documentId="13_ncr:1_{13E1D710-BAB0-4A97-92A4-F0BE0882E22A}" xr6:coauthVersionLast="47" xr6:coauthVersionMax="47" xr10:uidLastSave="{00000000-0000-0000-0000-000000000000}"/>
  <bookViews>
    <workbookView xWindow="2448" yWindow="3720" windowWidth="17280" windowHeight="9960" xr2:uid="{00000000-000D-0000-FFFF-FFFF00000000}"/>
  </bookViews>
  <sheets>
    <sheet name="Инструкция" sheetId="1" r:id="rId1"/>
    <sheet name="1_Регрессия" sheetId="2" r:id="rId2"/>
    <sheet name="2_Временной_ряд" sheetId="3" r:id="rId3"/>
    <sheet name="3_What-if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4" l="1"/>
  <c r="B11" i="4"/>
  <c r="B21" i="4" s="1"/>
  <c r="B12" i="4" l="1"/>
  <c r="B13" i="4"/>
  <c r="C21" i="4" l="1"/>
  <c r="B15" i="4"/>
  <c r="F21" i="4" l="1"/>
  <c r="D21" i="4"/>
</calcChain>
</file>

<file path=xl/sharedStrings.xml><?xml version="1.0" encoding="utf-8"?>
<sst xmlns="http://schemas.openxmlformats.org/spreadsheetml/2006/main" count="150" uniqueCount="139">
  <si>
    <t>Практикум «Прогнозирование и моделирование в Excel»</t>
  </si>
  <si>
    <t>Листы: 1_Регрессия (LINEST), 2_Временной_ряд (FORECAST, TREND), 3_What-if (Подбор параметра, Таблица данных, Сценарии).</t>
  </si>
  <si>
    <t>Условные обозначения:</t>
  </si>
  <si>
    <t xml:space="preserve">  жёлтые ячейки — исходные данные / параметры, которые можно менять;</t>
  </si>
  <si>
    <t xml:space="preserve">  зелёные ячейки — формулы модели (не трогать);</t>
  </si>
  <si>
    <t xml:space="preserve">  голубые ячейки — сюда вписываете свой ответ (формулу).</t>
  </si>
  <si>
    <t>Подсказки по функциям (русская локализация Excel → английская):</t>
  </si>
  <si>
    <t xml:space="preserve">  ЛИНЕЙН → LINEST;  ПРЕДСКАЗ.ЛИНЕЙН → FORECAST.LINEAR;  ТЕНДЕНЦИЯ → TREND;</t>
  </si>
  <si>
    <t xml:space="preserve">  НАКЛОН → SLOPE;  ОТРЕЗОК → INTERCEPT;  КВПИРСОН → RSQ;  КОРРЕЛ → CORREL;  ИНДЕКС → INDEX.</t>
  </si>
  <si>
    <t xml:space="preserve">  В русском Excel аргументы разделяются точкой с запятой ( ; ), в английском — запятой ( , ).</t>
  </si>
  <si>
    <t>Где искать инструменты:  Данные → Анализ «что если» → Подбор параметра / Таблица данных / Диспетчер сценариев.</t>
  </si>
  <si>
    <t>Задание 1А. Зависимость выручки интернет-магазина от расходов на рекламу (12 месяцев)</t>
  </si>
  <si>
    <t>Месяц</t>
  </si>
  <si>
    <t>Реклама, тыс. руб. (x)</t>
  </si>
  <si>
    <t>Выручка, тыс. руб. (y)</t>
  </si>
  <si>
    <t>Ответы (задание 1А)</t>
  </si>
  <si>
    <t>янв</t>
  </si>
  <si>
    <t>Наклон b (руб. выручки на 1 руб. рекламы)</t>
  </si>
  <si>
    <t>фев</t>
  </si>
  <si>
    <t>Свободный член a</t>
  </si>
  <si>
    <t>мар</t>
  </si>
  <si>
    <t>R² (коэффициент детерминации)</t>
  </si>
  <si>
    <t>апр</t>
  </si>
  <si>
    <t>Коэффициент корреляции r</t>
  </si>
  <si>
    <t>май</t>
  </si>
  <si>
    <t>Прогноз выручки при рекламе 150 тыс. руб.</t>
  </si>
  <si>
    <t>июн</t>
  </si>
  <si>
    <t>Проверка: SLOPE</t>
  </si>
  <si>
    <t>июл</t>
  </si>
  <si>
    <t>Проверка: INTERCEPT</t>
  </si>
  <si>
    <t>авг</t>
  </si>
  <si>
    <t>сен</t>
  </si>
  <si>
    <t>Полная статистика LINEST(...;ИСТИНА;ИСТИНА) — 5 строк × 2 столбца:</t>
  </si>
  <si>
    <t>окт</t>
  </si>
  <si>
    <t>коэффициенты (b, a)</t>
  </si>
  <si>
    <t>ноя</t>
  </si>
  <si>
    <t>стандартные ошибки</t>
  </si>
  <si>
    <t>дек</t>
  </si>
  <si>
    <t>R², ст. ошибка y</t>
  </si>
  <si>
    <t>F, степени свободы</t>
  </si>
  <si>
    <t>SSreg, SSresid</t>
  </si>
  <si>
    <t>Задание 1Б. Спрос на кофе в школьном кафе: цена и реклама (15 недель)</t>
  </si>
  <si>
    <t>Неделя</t>
  </si>
  <si>
    <t>Цена, руб. (x1)</t>
  </si>
  <si>
    <t>Реклама, тыс. руб. (x2)</t>
  </si>
  <si>
    <t>Продано, шт. (y)</t>
  </si>
  <si>
    <t>Ответы (задание 1Б)</t>
  </si>
  <si>
    <t>Коэффициент при рекламе (b2)</t>
  </si>
  <si>
    <t>Коэффициент при цене (b1)</t>
  </si>
  <si>
    <t>R²</t>
  </si>
  <si>
    <t>Прогноз продаж: цена 100, реклама 5</t>
  </si>
  <si>
    <t>Подсказка: LINEST с двумя x возвращает коэффициенты в ОБРАТНОМ порядке: сначала при x2, потом при x1, затем a.</t>
  </si>
  <si>
    <t>Вопрос: на сколько штук падает спрос при росте цены на 10 руб.? Что выгоднее: снизить цену на 10 руб. или добавить 1 тыс. руб. рекламы?</t>
  </si>
  <si>
    <t>Задание 2А. Ежемесячная выручка магазина за 2024–2025 гг. Спрогнозируйте I квартал 2026 г.</t>
  </si>
  <si>
    <t>№ периода (t)</t>
  </si>
  <si>
    <t>Выручка, тыс. руб.</t>
  </si>
  <si>
    <t>Параметры тренда y = a + b·t</t>
  </si>
  <si>
    <t>Наклон b (рост в месяц)</t>
  </si>
  <si>
    <t>Прогноз FORECAST на дек 2026 (t=36)</t>
  </si>
  <si>
    <t>Вопрос: почему прогноз на 3 года вперёд (t=60) доверять нельзя, даже если формула его выдаёт?</t>
  </si>
  <si>
    <t>FORECAST.LINEAR</t>
  </si>
  <si>
    <t>TREND</t>
  </si>
  <si>
    <t>FORECAST.ETS (*)</t>
  </si>
  <si>
    <t>Итого за I кв. 2026</t>
  </si>
  <si>
    <t>Задание 2Б (*). Квартальные продажи мороженого, шт. (12 кварталов). Есть ли сезонность?</t>
  </si>
  <si>
    <t>Квартал</t>
  </si>
  <si>
    <t>№ (t)</t>
  </si>
  <si>
    <t>Продажи, шт.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</si>
  <si>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</si>
  <si>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</si>
  <si>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</si>
  <si>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</si>
  <si>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</si>
  <si>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</si>
  <si>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</si>
  <si>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</si>
  <si>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</si>
  <si>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</si>
  <si>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</si>
  <si>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</si>
  <si>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TREND (линейный)</t>
  </si>
  <si>
    <t>FORECAST.ETS (сезонность 4)</t>
  </si>
  <si>
    <t>2026 Q1</t>
  </si>
  <si>
    <t>2026 Q2</t>
  </si>
  <si>
    <t>2026 Q3</t>
  </si>
  <si>
    <t>2026 Q4</t>
  </si>
  <si>
    <t>Вопрос: чему равен R² линейного тренда здесь и почему линейный прогноз для сезонных данных бесполезен?</t>
  </si>
  <si>
    <t>Задание 3. Модель прибыли школьного кафе за месяц</t>
  </si>
  <si>
    <t>Спрос линейно зависит от цены: Q = a − b·P  (коэффициенты a и b получены регрессией по прошлым данным).</t>
  </si>
  <si>
    <t>Параметр</t>
  </si>
  <si>
    <t>Значение</t>
  </si>
  <si>
    <t>Комментарий</t>
  </si>
  <si>
    <t>Подбор параметра — запишите результаты</t>
  </si>
  <si>
    <t>Цена одного напитка P, руб.</t>
  </si>
  <si>
    <t>меняем в заданиях; ячейка для Подбора параметра</t>
  </si>
  <si>
    <t>3.1 Цена, при которой прибыль = 30 000 руб.</t>
  </si>
  <si>
    <t>Спрос: a (базовый спрос при нулевой цене), шт.</t>
  </si>
  <si>
    <t>параметр модели спроса</t>
  </si>
  <si>
    <t>3.2 Макс. аренда+зарплата (FC) при P=150, чтобы прибыль ≥ 0</t>
  </si>
  <si>
    <t>Спрос: b (падение спроса на 1 руб. цены), шт./руб.</t>
  </si>
  <si>
    <t>3.3 Цена безубыточности (прибыль = 0) при FC = 40 000 — нижняя</t>
  </si>
  <si>
    <t>Переменные затраты на 1 напиток VC, руб.</t>
  </si>
  <si>
    <t>стаканчик, кофе, молоко, сироп</t>
  </si>
  <si>
    <t>3.3 Цена безубыточности — верхняя (начните подбор с P = 250)</t>
  </si>
  <si>
    <t>Постоянные затраты FC, руб./мес.</t>
  </si>
  <si>
    <t>аренда точки, зарплата бариста</t>
  </si>
  <si>
    <t>Расчёт</t>
  </si>
  <si>
    <t>Формула</t>
  </si>
  <si>
    <t>Спрос Q, шт./мес.</t>
  </si>
  <si>
    <t>Q = a − b·P</t>
  </si>
  <si>
    <t>Выручка, руб.</t>
  </si>
  <si>
    <t>P·Q</t>
  </si>
  <si>
    <t>Переменные затраты, руб.</t>
  </si>
  <si>
    <t>VC·Q</t>
  </si>
  <si>
    <t>Постоянные затраты, руб.</t>
  </si>
  <si>
    <t>FC</t>
  </si>
  <si>
    <t>Прибыль, руб.</t>
  </si>
  <si>
    <t>Выручка − VC·Q − FC   ← целевая ячейка</t>
  </si>
  <si>
    <t>3.4 Таблица данных с одной переменной: как прибыль зависит от цены</t>
  </si>
  <si>
    <t>3.5 Таблица данных с двумя переменными: прибыль при разных P и VC</t>
  </si>
  <si>
    <t>Выделите A21:D34 → Данные → Анализ «что если» → Таблица данных → «Подставлять значения по строкам в:» $B$4</t>
  </si>
  <si>
    <t>Выделите F21:K34 → Таблица данных → по столбцам: $B$7 (VC), по строкам: $B$4 (P)</t>
  </si>
  <si>
    <t>Цена P (→ в B4)</t>
  </si>
  <si>
    <t>Спрос Q</t>
  </si>
  <si>
    <t>Выручка</t>
  </si>
  <si>
    <t>Прибыль</t>
  </si>
  <si>
    <t>P ↓ (→ в B4)</t>
  </si>
  <si>
    <t>VC → (→ в B7)</t>
  </si>
  <si>
    <t>Вопрос: при какой цене прибыль максимальна? Проверьте шагом 5 руб. около найденного значения.</t>
  </si>
  <si>
    <t>Вопрос: выделите условным форматированием убыточные сочетания (прибыль &lt; 0).</t>
  </si>
  <si>
    <t>3.6 Диспетчер сценариев: изменяемые ячейки B5, B7, B8; результат — B15 (прибыль)</t>
  </si>
  <si>
    <t>Сценарий</t>
  </si>
  <si>
    <t>a (спрос)</t>
  </si>
  <si>
    <t>VC</t>
  </si>
  <si>
    <t>Прибыль при P=150</t>
  </si>
  <si>
    <t>Пессимистичный</t>
  </si>
  <si>
    <t>Базовый</t>
  </si>
  <si>
    <t>Оптимистичный</t>
  </si>
  <si>
    <t>Создайте три сценария в Диспетчере сценариев и сформируйте Отчёт (Структура). Сравните с результатами формул.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</si>
</sst>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6" formatCode="mmm\ yyyy"/>
    <numFmt numFmtId="167" formatCode="0.0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  <font>
      <i/>
      <sz val="11"/>
      <color rgb="FF666666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3" borderId="1" xfId="0" applyFill="1" applyBorder="1"/>
    <xf numFmtId="2" fontId="0" fillId="4" borderId="1" xfId="0" applyNumberFormat="1" applyFill="1" applyBorder="1"/>
    <xf numFmtId="0" fontId="4" fillId="0" borderId="0" xfId="0" applyFont="1"/>
    <xf numFmtId="164" fontId="0" fillId="4" borderId="1" xfId="0" applyNumberFormat="1" applyFill="1" applyBorder="1"/>
    <xf numFmtId="166" fontId="0" fillId="0" borderId="1" xfId="0" applyNumberFormat="1" applyBorder="1"/>
    <xf numFmtId="167" fontId="0" fillId="4" borderId="1" xfId="0" applyNumberFormat="1" applyFill="1" applyBorder="1"/>
    <xf numFmtId="4" fontId="0" fillId="3" borderId="1" xfId="0" applyNumberFormat="1" applyFill="1" applyBorder="1"/>
    <xf numFmtId="3" fontId="0" fillId="5" borderId="1" xfId="0" applyNumberFormat="1" applyFill="1" applyBorder="1"/>
    <xf numFmtId="0" fontId="2" fillId="0" borderId="1" xfId="0" applyFont="1" applyBorder="1"/>
    <xf numFmtId="0" fontId="2" fillId="5" borderId="1" xfId="0" applyFont="1" applyFill="1" applyBorder="1"/>
    <xf numFmtId="0" fontId="2" fillId="3" borderId="1" xfId="0" applyFont="1" applyFill="1" applyBorder="1"/>
    <xf numFmtId="3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tabSelected="1" workbookViewId="0"/>
  </sheetViews>
  <sheetFormatPr defaultRowHeight="14.4" x14ac:dyDescent="0.3"/>
  <cols>
    <col min="1" max="1" width="110" customWidth="1"/>
  </cols>
  <sheetData>
    <row r="1" spans="1:1" ht="18" x14ac:dyDescent="0.35">
      <c r="A1" s="1" t="s">
        <v>0</v>
      </c>
    </row>
    <row r="2" spans="1:1" x14ac:dyDescent="0.3">
      <c r="A2" t="s">
        <v>1</v>
      </c>
    </row>
    <row r="4" spans="1:1" x14ac:dyDescent="0.3">
      <c r="A4" s="2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9" spans="1:1" x14ac:dyDescent="0.3">
      <c r="A9" s="2" t="s">
        <v>6</v>
      </c>
    </row>
    <row r="10" spans="1:1" x14ac:dyDescent="0.3">
      <c r="A10" t="s">
        <v>7</v>
      </c>
    </row>
    <row r="11" spans="1:1" x14ac:dyDescent="0.3">
      <c r="A11" t="s">
        <v>8</v>
      </c>
    </row>
    <row r="12" spans="1:1" x14ac:dyDescent="0.3">
      <c r="A12" t="s">
        <v>9</v>
      </c>
    </row>
    <row r="14" spans="1:1" x14ac:dyDescent="0.3">
      <c r="A14" s="2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5"/>
  <sheetViews>
    <sheetView workbookViewId="0"/>
  </sheetViews>
  <sheetFormatPr defaultRowHeight="14.4" x14ac:dyDescent="0.3"/>
  <cols>
    <col min="1" max="1" width="10" customWidth="1"/>
    <col min="2" max="3" width="22" customWidth="1"/>
    <col min="4" max="4" width="18" customWidth="1"/>
    <col min="5" max="6" width="34" customWidth="1"/>
    <col min="7" max="7" width="14" customWidth="1"/>
  </cols>
  <sheetData>
    <row r="1" spans="1:7" ht="18" x14ac:dyDescent="0.35">
      <c r="A1" s="1" t="s">
        <v>11</v>
      </c>
    </row>
    <row r="2" spans="1:7" x14ac:dyDescent="0.3">
      <c r="A2" s="3" t="s">
        <v>12</v>
      </c>
      <c r="B2" s="3" t="s">
        <v>13</v>
      </c>
      <c r="C2" s="3" t="s">
        <v>14</v>
      </c>
      <c r="E2" s="2" t="s">
        <v>15</v>
      </c>
    </row>
    <row r="3" spans="1:7" x14ac:dyDescent="0.3">
      <c r="A3" s="4" t="s">
        <v>16</v>
      </c>
      <c r="B3" s="5">
        <v>20</v>
      </c>
      <c r="C3" s="5">
        <v>204</v>
      </c>
      <c r="E3" s="2" t="s">
        <v>17</v>
      </c>
      <c r="F3" s="6"/>
    </row>
    <row r="4" spans="1:7" x14ac:dyDescent="0.3">
      <c r="A4" s="4" t="s">
        <v>18</v>
      </c>
      <c r="B4" s="5">
        <v>25</v>
      </c>
      <c r="C4" s="5">
        <v>242</v>
      </c>
      <c r="E4" s="2" t="s">
        <v>19</v>
      </c>
      <c r="F4" s="6"/>
    </row>
    <row r="5" spans="1:7" x14ac:dyDescent="0.3">
      <c r="A5" s="4" t="s">
        <v>20</v>
      </c>
      <c r="B5" s="5">
        <v>30</v>
      </c>
      <c r="C5" s="5">
        <v>217</v>
      </c>
      <c r="E5" s="2" t="s">
        <v>21</v>
      </c>
      <c r="F5" s="6"/>
    </row>
    <row r="6" spans="1:7" x14ac:dyDescent="0.3">
      <c r="A6" s="4" t="s">
        <v>22</v>
      </c>
      <c r="B6" s="5">
        <v>40</v>
      </c>
      <c r="C6" s="5">
        <v>318</v>
      </c>
      <c r="E6" s="2" t="s">
        <v>23</v>
      </c>
      <c r="F6" s="6"/>
    </row>
    <row r="7" spans="1:7" x14ac:dyDescent="0.3">
      <c r="A7" s="4" t="s">
        <v>24</v>
      </c>
      <c r="B7" s="5">
        <v>45</v>
      </c>
      <c r="C7" s="5">
        <v>320</v>
      </c>
      <c r="E7" s="2" t="s">
        <v>25</v>
      </c>
      <c r="F7" s="6"/>
    </row>
    <row r="8" spans="1:7" x14ac:dyDescent="0.3">
      <c r="A8" s="4" t="s">
        <v>26</v>
      </c>
      <c r="B8" s="5">
        <v>55</v>
      </c>
      <c r="C8" s="5">
        <v>337</v>
      </c>
      <c r="E8" s="2" t="s">
        <v>27</v>
      </c>
      <c r="F8" s="6"/>
    </row>
    <row r="9" spans="1:7" x14ac:dyDescent="0.3">
      <c r="A9" s="4" t="s">
        <v>28</v>
      </c>
      <c r="B9" s="5">
        <v>60</v>
      </c>
      <c r="C9" s="5">
        <v>354</v>
      </c>
      <c r="E9" s="2" t="s">
        <v>29</v>
      </c>
      <c r="F9" s="6"/>
    </row>
    <row r="10" spans="1:7" x14ac:dyDescent="0.3">
      <c r="A10" s="4" t="s">
        <v>30</v>
      </c>
      <c r="B10" s="5">
        <v>70</v>
      </c>
      <c r="C10" s="5">
        <v>401</v>
      </c>
    </row>
    <row r="11" spans="1:7" x14ac:dyDescent="0.3">
      <c r="A11" s="4" t="s">
        <v>31</v>
      </c>
      <c r="B11" s="5">
        <v>80</v>
      </c>
      <c r="C11" s="5">
        <v>425</v>
      </c>
      <c r="E11" s="2" t="s">
        <v>32</v>
      </c>
    </row>
    <row r="12" spans="1:7" x14ac:dyDescent="0.3">
      <c r="A12" s="4" t="s">
        <v>33</v>
      </c>
      <c r="B12" s="5">
        <v>90</v>
      </c>
      <c r="C12" s="5">
        <v>460</v>
      </c>
      <c r="E12" s="7" t="s">
        <v>34</v>
      </c>
      <c r="F12" s="8"/>
      <c r="G12" s="8"/>
    </row>
    <row r="13" spans="1:7" x14ac:dyDescent="0.3">
      <c r="A13" s="4" t="s">
        <v>35</v>
      </c>
      <c r="B13" s="5">
        <v>100</v>
      </c>
      <c r="C13" s="5">
        <v>514</v>
      </c>
      <c r="E13" s="7" t="s">
        <v>36</v>
      </c>
      <c r="F13" s="8"/>
      <c r="G13" s="8"/>
    </row>
    <row r="14" spans="1:7" x14ac:dyDescent="0.3">
      <c r="A14" s="4" t="s">
        <v>37</v>
      </c>
      <c r="B14" s="5">
        <v>110</v>
      </c>
      <c r="C14" s="5">
        <v>545</v>
      </c>
      <c r="E14" s="7" t="s">
        <v>38</v>
      </c>
      <c r="F14" s="8"/>
      <c r="G14" s="8"/>
    </row>
    <row r="15" spans="1:7" x14ac:dyDescent="0.3">
      <c r="E15" s="7" t="s">
        <v>39</v>
      </c>
      <c r="F15" s="8"/>
      <c r="G15" s="8"/>
    </row>
    <row r="16" spans="1:7" x14ac:dyDescent="0.3">
      <c r="E16" s="7" t="s">
        <v>40</v>
      </c>
      <c r="F16" s="8"/>
      <c r="G16" s="8"/>
    </row>
    <row r="19" spans="1:7" ht="18" x14ac:dyDescent="0.35">
      <c r="A19" s="1" t="s">
        <v>41</v>
      </c>
    </row>
    <row r="20" spans="1:7" x14ac:dyDescent="0.3">
      <c r="A20" s="3" t="s">
        <v>42</v>
      </c>
      <c r="B20" s="3" t="s">
        <v>43</v>
      </c>
      <c r="C20" s="3" t="s">
        <v>44</v>
      </c>
      <c r="D20" s="3" t="s">
        <v>45</v>
      </c>
      <c r="F20" s="2" t="s">
        <v>46</v>
      </c>
    </row>
    <row r="21" spans="1:7" x14ac:dyDescent="0.3">
      <c r="A21" s="4">
        <v>1</v>
      </c>
      <c r="B21" s="5">
        <v>80</v>
      </c>
      <c r="C21" s="5">
        <v>2</v>
      </c>
      <c r="D21" s="5">
        <v>559</v>
      </c>
      <c r="F21" s="2" t="s">
        <v>47</v>
      </c>
      <c r="G21" s="6"/>
    </row>
    <row r="22" spans="1:7" x14ac:dyDescent="0.3">
      <c r="A22" s="4">
        <v>2</v>
      </c>
      <c r="B22" s="5">
        <v>85</v>
      </c>
      <c r="C22" s="5">
        <v>6</v>
      </c>
      <c r="D22" s="5">
        <v>654</v>
      </c>
      <c r="F22" s="2" t="s">
        <v>48</v>
      </c>
      <c r="G22" s="6"/>
    </row>
    <row r="23" spans="1:7" x14ac:dyDescent="0.3">
      <c r="A23" s="4">
        <v>3</v>
      </c>
      <c r="B23" s="5">
        <v>90</v>
      </c>
      <c r="C23" s="5">
        <v>3</v>
      </c>
      <c r="D23" s="5">
        <v>542</v>
      </c>
      <c r="F23" s="2" t="s">
        <v>19</v>
      </c>
      <c r="G23" s="6"/>
    </row>
    <row r="24" spans="1:7" x14ac:dyDescent="0.3">
      <c r="A24" s="4">
        <v>4</v>
      </c>
      <c r="B24" s="5">
        <v>95</v>
      </c>
      <c r="C24" s="5">
        <v>8</v>
      </c>
      <c r="D24" s="5">
        <v>656</v>
      </c>
      <c r="F24" s="2" t="s">
        <v>49</v>
      </c>
      <c r="G24" s="6"/>
    </row>
    <row r="25" spans="1:7" x14ac:dyDescent="0.3">
      <c r="A25" s="4">
        <v>5</v>
      </c>
      <c r="B25" s="5">
        <v>100</v>
      </c>
      <c r="C25" s="5">
        <v>1</v>
      </c>
      <c r="D25" s="5">
        <v>424</v>
      </c>
      <c r="F25" s="2" t="s">
        <v>50</v>
      </c>
      <c r="G25" s="6"/>
    </row>
    <row r="26" spans="1:7" x14ac:dyDescent="0.3">
      <c r="A26" s="4">
        <v>6</v>
      </c>
      <c r="B26" s="5">
        <v>100</v>
      </c>
      <c r="C26" s="5">
        <v>9</v>
      </c>
      <c r="D26" s="5">
        <v>678</v>
      </c>
    </row>
    <row r="27" spans="1:7" x14ac:dyDescent="0.3">
      <c r="A27" s="4">
        <v>7</v>
      </c>
      <c r="B27" s="5">
        <v>105</v>
      </c>
      <c r="C27" s="5">
        <v>4</v>
      </c>
      <c r="D27" s="5">
        <v>493</v>
      </c>
      <c r="F27" s="7" t="s">
        <v>51</v>
      </c>
    </row>
    <row r="28" spans="1:7" x14ac:dyDescent="0.3">
      <c r="A28" s="4">
        <v>8</v>
      </c>
      <c r="B28" s="5">
        <v>110</v>
      </c>
      <c r="C28" s="5">
        <v>7</v>
      </c>
      <c r="D28" s="5">
        <v>539</v>
      </c>
      <c r="F28" s="7" t="s">
        <v>52</v>
      </c>
    </row>
    <row r="29" spans="1:7" x14ac:dyDescent="0.3">
      <c r="A29" s="4">
        <v>9</v>
      </c>
      <c r="B29" s="5">
        <v>115</v>
      </c>
      <c r="C29" s="5">
        <v>2</v>
      </c>
      <c r="D29" s="5">
        <v>378</v>
      </c>
    </row>
    <row r="30" spans="1:7" x14ac:dyDescent="0.3">
      <c r="A30" s="4">
        <v>10</v>
      </c>
      <c r="B30" s="5">
        <v>120</v>
      </c>
      <c r="C30" s="5">
        <v>10</v>
      </c>
      <c r="D30" s="5">
        <v>610</v>
      </c>
    </row>
    <row r="31" spans="1:7" x14ac:dyDescent="0.3">
      <c r="A31" s="4">
        <v>11</v>
      </c>
      <c r="B31" s="5">
        <v>125</v>
      </c>
      <c r="C31" s="5">
        <v>5</v>
      </c>
      <c r="D31" s="5">
        <v>422</v>
      </c>
    </row>
    <row r="32" spans="1:7" x14ac:dyDescent="0.3">
      <c r="A32" s="4">
        <v>12</v>
      </c>
      <c r="B32" s="5">
        <v>130</v>
      </c>
      <c r="C32" s="5">
        <v>3</v>
      </c>
      <c r="D32" s="5">
        <v>338</v>
      </c>
    </row>
    <row r="33" spans="1:4" x14ac:dyDescent="0.3">
      <c r="A33" s="4">
        <v>13</v>
      </c>
      <c r="B33" s="5">
        <v>135</v>
      </c>
      <c r="C33" s="5">
        <v>8</v>
      </c>
      <c r="D33" s="5">
        <v>475</v>
      </c>
    </row>
    <row r="34" spans="1:4" x14ac:dyDescent="0.3">
      <c r="A34" s="4">
        <v>14</v>
      </c>
      <c r="B34" s="5">
        <v>140</v>
      </c>
      <c r="C34" s="5">
        <v>1</v>
      </c>
      <c r="D34" s="5">
        <v>257</v>
      </c>
    </row>
    <row r="35" spans="1:4" x14ac:dyDescent="0.3">
      <c r="A35" s="4">
        <v>15</v>
      </c>
      <c r="B35" s="5">
        <v>140</v>
      </c>
      <c r="C35" s="5">
        <v>6</v>
      </c>
      <c r="D35" s="5">
        <v>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3"/>
  <sheetViews>
    <sheetView workbookViewId="0"/>
  </sheetViews>
  <sheetFormatPr defaultRowHeight="14.4" x14ac:dyDescent="0.3"/>
  <cols>
    <col min="1" max="1" width="12" customWidth="1"/>
    <col min="2" max="2" width="14" customWidth="1"/>
    <col min="3" max="3" width="20" customWidth="1"/>
    <col min="4" max="4" width="14" customWidth="1"/>
    <col min="5" max="5" width="18" customWidth="1"/>
    <col min="7" max="7" width="30" customWidth="1"/>
    <col min="8" max="8" width="14" customWidth="1"/>
  </cols>
  <sheetData>
    <row r="1" spans="1:8" ht="18" x14ac:dyDescent="0.35">
      <c r="A1" s="1" t="s">
        <v>53</v>
      </c>
    </row>
    <row r="2" spans="1:8" x14ac:dyDescent="0.3">
      <c r="A2" s="3" t="s">
        <v>12</v>
      </c>
      <c r="B2" s="3" t="s">
        <v>54</v>
      </c>
      <c r="C2" s="3" t="s">
        <v>55</v>
      </c>
      <c r="G2" s="2" t="s">
        <v>56</v>
      </c>
    </row>
    <row r="3" spans="1:8" x14ac:dyDescent="0.3">
      <c r="A3" s="9">
        <v>45292</v>
      </c>
      <c r="B3" s="4">
        <v>1</v>
      </c>
      <c r="C3" s="5">
        <v>326</v>
      </c>
      <c r="G3" s="2" t="s">
        <v>57</v>
      </c>
      <c r="H3" s="6"/>
    </row>
    <row r="4" spans="1:8" x14ac:dyDescent="0.3">
      <c r="A4" s="9">
        <v>45323</v>
      </c>
      <c r="B4" s="4">
        <v>2</v>
      </c>
      <c r="C4" s="5">
        <v>294</v>
      </c>
      <c r="G4" s="2" t="s">
        <v>19</v>
      </c>
      <c r="H4" s="6"/>
    </row>
    <row r="5" spans="1:8" x14ac:dyDescent="0.3">
      <c r="A5" s="9">
        <v>45352</v>
      </c>
      <c r="B5" s="4">
        <v>3</v>
      </c>
      <c r="C5" s="5">
        <v>321</v>
      </c>
      <c r="G5" s="2" t="s">
        <v>49</v>
      </c>
      <c r="H5" s="6"/>
    </row>
    <row r="6" spans="1:8" x14ac:dyDescent="0.3">
      <c r="A6" s="9">
        <v>45383</v>
      </c>
      <c r="B6" s="4">
        <v>4</v>
      </c>
      <c r="C6" s="5">
        <v>306</v>
      </c>
      <c r="G6" s="2" t="s">
        <v>58</v>
      </c>
      <c r="H6" s="6"/>
    </row>
    <row r="7" spans="1:8" x14ac:dyDescent="0.3">
      <c r="A7" s="9">
        <v>45413</v>
      </c>
      <c r="B7" s="4">
        <v>5</v>
      </c>
      <c r="C7" s="5">
        <v>350</v>
      </c>
    </row>
    <row r="8" spans="1:8" x14ac:dyDescent="0.3">
      <c r="A8" s="9">
        <v>45444</v>
      </c>
      <c r="B8" s="4">
        <v>6</v>
      </c>
      <c r="C8" s="5">
        <v>349</v>
      </c>
      <c r="G8" s="7" t="s">
        <v>59</v>
      </c>
    </row>
    <row r="9" spans="1:8" x14ac:dyDescent="0.3">
      <c r="A9" s="9">
        <v>45474</v>
      </c>
      <c r="B9" s="4">
        <v>7</v>
      </c>
      <c r="C9" s="5">
        <v>359</v>
      </c>
    </row>
    <row r="10" spans="1:8" x14ac:dyDescent="0.3">
      <c r="A10" s="9">
        <v>45505</v>
      </c>
      <c r="B10" s="4">
        <v>8</v>
      </c>
      <c r="C10" s="5">
        <v>335</v>
      </c>
    </row>
    <row r="11" spans="1:8" x14ac:dyDescent="0.3">
      <c r="A11" s="9">
        <v>45536</v>
      </c>
      <c r="B11" s="4">
        <v>9</v>
      </c>
      <c r="C11" s="5">
        <v>364</v>
      </c>
    </row>
    <row r="12" spans="1:8" x14ac:dyDescent="0.3">
      <c r="A12" s="9">
        <v>45566</v>
      </c>
      <c r="B12" s="4">
        <v>10</v>
      </c>
      <c r="C12" s="5">
        <v>352</v>
      </c>
    </row>
    <row r="13" spans="1:8" x14ac:dyDescent="0.3">
      <c r="A13" s="9">
        <v>45597</v>
      </c>
      <c r="B13" s="4">
        <v>11</v>
      </c>
      <c r="C13" s="5">
        <v>359</v>
      </c>
    </row>
    <row r="14" spans="1:8" x14ac:dyDescent="0.3">
      <c r="A14" s="9">
        <v>45627</v>
      </c>
      <c r="B14" s="4">
        <v>12</v>
      </c>
      <c r="C14" s="5">
        <v>380</v>
      </c>
    </row>
    <row r="15" spans="1:8" x14ac:dyDescent="0.3">
      <c r="A15" s="9">
        <v>45658</v>
      </c>
      <c r="B15" s="4">
        <v>13</v>
      </c>
      <c r="C15" s="5">
        <v>391</v>
      </c>
    </row>
    <row r="16" spans="1:8" x14ac:dyDescent="0.3">
      <c r="A16" s="9">
        <v>45689</v>
      </c>
      <c r="B16" s="4">
        <v>14</v>
      </c>
      <c r="C16" s="5">
        <v>387</v>
      </c>
    </row>
    <row r="17" spans="1:5" x14ac:dyDescent="0.3">
      <c r="A17" s="9">
        <v>45717</v>
      </c>
      <c r="B17" s="4">
        <v>15</v>
      </c>
      <c r="C17" s="5">
        <v>381</v>
      </c>
    </row>
    <row r="18" spans="1:5" x14ac:dyDescent="0.3">
      <c r="A18" s="9">
        <v>45748</v>
      </c>
      <c r="B18" s="4">
        <v>16</v>
      </c>
      <c r="C18" s="5">
        <v>384</v>
      </c>
    </row>
    <row r="19" spans="1:5" x14ac:dyDescent="0.3">
      <c r="A19" s="9">
        <v>45778</v>
      </c>
      <c r="B19" s="4">
        <v>17</v>
      </c>
      <c r="C19" s="5">
        <v>424</v>
      </c>
    </row>
    <row r="20" spans="1:5" x14ac:dyDescent="0.3">
      <c r="A20" s="9">
        <v>45809</v>
      </c>
      <c r="B20" s="4">
        <v>18</v>
      </c>
      <c r="C20" s="5">
        <v>417</v>
      </c>
    </row>
    <row r="21" spans="1:5" x14ac:dyDescent="0.3">
      <c r="A21" s="9">
        <v>45839</v>
      </c>
      <c r="B21" s="4">
        <v>19</v>
      </c>
      <c r="C21" s="5">
        <v>425</v>
      </c>
    </row>
    <row r="22" spans="1:5" x14ac:dyDescent="0.3">
      <c r="A22" s="9">
        <v>45870</v>
      </c>
      <c r="B22" s="4">
        <v>20</v>
      </c>
      <c r="C22" s="5">
        <v>453</v>
      </c>
    </row>
    <row r="23" spans="1:5" x14ac:dyDescent="0.3">
      <c r="A23" s="9">
        <v>45901</v>
      </c>
      <c r="B23" s="4">
        <v>21</v>
      </c>
      <c r="C23" s="5">
        <v>414</v>
      </c>
    </row>
    <row r="24" spans="1:5" x14ac:dyDescent="0.3">
      <c r="A24" s="9">
        <v>45931</v>
      </c>
      <c r="B24" s="4">
        <v>22</v>
      </c>
      <c r="C24" s="5">
        <v>470</v>
      </c>
    </row>
    <row r="25" spans="1:5" x14ac:dyDescent="0.3">
      <c r="A25" s="9">
        <v>45962</v>
      </c>
      <c r="B25" s="4">
        <v>23</v>
      </c>
      <c r="C25" s="5">
        <v>485</v>
      </c>
    </row>
    <row r="26" spans="1:5" x14ac:dyDescent="0.3">
      <c r="A26" s="9">
        <v>45992</v>
      </c>
      <c r="B26" s="4">
        <v>24</v>
      </c>
      <c r="C26" s="5">
        <v>468</v>
      </c>
    </row>
    <row r="27" spans="1:5" x14ac:dyDescent="0.3">
      <c r="A27" s="3" t="s">
        <v>12</v>
      </c>
      <c r="B27" s="3" t="s">
        <v>54</v>
      </c>
      <c r="C27" s="3" t="s">
        <v>60</v>
      </c>
      <c r="D27" s="3" t="s">
        <v>61</v>
      </c>
      <c r="E27" s="3" t="s">
        <v>62</v>
      </c>
    </row>
    <row r="28" spans="1:5" x14ac:dyDescent="0.3">
      <c r="A28" s="9">
        <v>46023</v>
      </c>
      <c r="B28" s="4">
        <v>25</v>
      </c>
      <c r="C28" s="10"/>
      <c r="D28" s="10"/>
      <c r="E28" s="10"/>
    </row>
    <row r="29" spans="1:5" x14ac:dyDescent="0.3">
      <c r="A29" s="9">
        <v>46054</v>
      </c>
      <c r="B29" s="4">
        <v>26</v>
      </c>
      <c r="C29" s="10"/>
      <c r="D29" s="10"/>
      <c r="E29" s="10"/>
    </row>
    <row r="30" spans="1:5" x14ac:dyDescent="0.3">
      <c r="A30" s="9">
        <v>46082</v>
      </c>
      <c r="B30" s="4">
        <v>27</v>
      </c>
      <c r="C30" s="10"/>
      <c r="D30" s="10"/>
      <c r="E30" s="10"/>
    </row>
    <row r="31" spans="1:5" x14ac:dyDescent="0.3">
      <c r="A31" s="2" t="s">
        <v>63</v>
      </c>
      <c r="C31" s="10"/>
      <c r="D31" s="10"/>
      <c r="E31" s="10"/>
    </row>
    <row r="34" spans="1:4" ht="18" x14ac:dyDescent="0.35">
      <c r="A34" s="1" t="s">
        <v>64</v>
      </c>
    </row>
    <row r="35" spans="1:4" x14ac:dyDescent="0.3">
      <c r="A35" s="3" t="s">
        <v>65</v>
      </c>
      <c r="B35" s="3" t="s">
        <v>66</v>
      </c>
      <c r="C35" s="3" t="s">
        <v>67</v>
      </c>
    </row>
    <row r="36" spans="1:4" x14ac:dyDescent="0.3">
      <c r="A36" s="4" t="s">
        <v>68</v>
      </c>
      <c r="B36" s="4">
        <v>1</v>
      </c>
      <c r="C36" s="5">
        <v>152</v>
      </c>
    </row>
    <row r="37" spans="1:4" x14ac:dyDescent="0.3">
      <c r="A37" s="4" t="s">
        <v>69</v>
      </c>
      <c r="B37" s="4">
        <v>2</v>
      </c>
      <c r="C37" s="5">
        <v>232</v>
      </c>
    </row>
    <row r="38" spans="1:4" x14ac:dyDescent="0.3">
      <c r="A38" s="4" t="s">
        <v>70</v>
      </c>
      <c r="B38" s="4">
        <v>3</v>
      </c>
      <c r="C38" s="5">
        <v>344</v>
      </c>
    </row>
    <row r="39" spans="1:4" x14ac:dyDescent="0.3">
      <c r="A39" s="4" t="s">
        <v>71</v>
      </c>
      <c r="B39" s="4">
        <v>4</v>
      </c>
      <c r="C39" s="5">
        <v>159</v>
      </c>
    </row>
    <row r="40" spans="1:4" x14ac:dyDescent="0.3">
      <c r="A40" s="4" t="s">
        <v>72</v>
      </c>
      <c r="B40" s="4">
        <v>5</v>
      </c>
      <c r="C40" s="5">
        <v>168</v>
      </c>
    </row>
    <row r="41" spans="1:4" x14ac:dyDescent="0.3">
      <c r="A41" s="4" t="s">
        <v>73</v>
      </c>
      <c r="B41" s="4">
        <v>6</v>
      </c>
      <c r="C41" s="5">
        <v>270</v>
      </c>
    </row>
    <row r="42" spans="1:4" x14ac:dyDescent="0.3">
      <c r="A42" s="4" t="s">
        <v>74</v>
      </c>
      <c r="B42" s="4">
        <v>7</v>
      </c>
      <c r="C42" s="5">
        <v>386</v>
      </c>
    </row>
    <row r="43" spans="1:4" x14ac:dyDescent="0.3">
      <c r="A43" s="4" t="s">
        <v>75</v>
      </c>
      <c r="B43" s="4">
        <v>8</v>
      </c>
      <c r="C43" s="5">
        <v>195</v>
      </c>
    </row>
    <row r="44" spans="1:4" x14ac:dyDescent="0.3">
      <c r="A44" s="4" t="s">
        <v>76</v>
      </c>
      <c r="B44" s="4">
        <v>9</v>
      </c>
      <c r="C44" s="5">
        <v>186</v>
      </c>
    </row>
    <row r="45" spans="1:4" x14ac:dyDescent="0.3">
      <c r="A45" s="4" t="s">
        <v>77</v>
      </c>
      <c r="B45" s="4">
        <v>10</v>
      </c>
      <c r="C45" s="5">
        <v>300</v>
      </c>
    </row>
    <row r="46" spans="1:4" x14ac:dyDescent="0.3">
      <c r="A46" s="4" t="s">
        <v>78</v>
      </c>
      <c r="B46" s="4">
        <v>11</v>
      </c>
      <c r="C46" s="5">
        <v>424</v>
      </c>
    </row>
    <row r="47" spans="1:4" x14ac:dyDescent="0.3">
      <c r="A47" s="4" t="s">
        <v>79</v>
      </c>
      <c r="B47" s="4">
        <v>12</v>
      </c>
      <c r="C47" s="5">
        <v>199</v>
      </c>
    </row>
    <row r="48" spans="1:4" ht="28.8" x14ac:dyDescent="0.3">
      <c r="A48" s="3" t="s">
        <v>65</v>
      </c>
      <c r="B48" s="3" t="s">
        <v>66</v>
      </c>
      <c r="C48" s="3" t="s">
        <v>80</v>
      </c>
      <c r="D48" s="3" t="s">
        <v>81</v>
      </c>
    </row>
    <row r="49" spans="1:4" x14ac:dyDescent="0.3">
      <c r="A49" s="4" t="s">
        <v>82</v>
      </c>
      <c r="B49" s="4">
        <v>13</v>
      </c>
      <c r="C49" s="10"/>
      <c r="D49" s="10"/>
    </row>
    <row r="50" spans="1:4" x14ac:dyDescent="0.3">
      <c r="A50" s="4" t="s">
        <v>83</v>
      </c>
      <c r="B50" s="4">
        <v>14</v>
      </c>
      <c r="C50" s="10"/>
      <c r="D50" s="10"/>
    </row>
    <row r="51" spans="1:4" x14ac:dyDescent="0.3">
      <c r="A51" s="4" t="s">
        <v>84</v>
      </c>
      <c r="B51" s="4">
        <v>15</v>
      </c>
      <c r="C51" s="10"/>
      <c r="D51" s="10"/>
    </row>
    <row r="52" spans="1:4" x14ac:dyDescent="0.3">
      <c r="A52" s="4" t="s">
        <v>85</v>
      </c>
      <c r="B52" s="4">
        <v>16</v>
      </c>
      <c r="C52" s="10"/>
      <c r="D52" s="10"/>
    </row>
    <row r="53" spans="1:4" x14ac:dyDescent="0.3">
      <c r="A53" s="7" t="s">
        <v>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3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38" customWidth="1"/>
    <col min="2" max="2" width="14" customWidth="1"/>
    <col min="3" max="3" width="60" customWidth="1"/>
    <col min="4" max="4" width="12" customWidth="1"/>
    <col min="5" max="5" width="52" customWidth="1"/>
    <col min="6" max="6" width="14" customWidth="1"/>
    <col min="7" max="11" width="11" customWidth="1"/>
  </cols>
  <sheetData>
    <row r="1" spans="1:6" ht="18" x14ac:dyDescent="0.35">
      <c r="A1" s="1" t="s">
        <v>87</v>
      </c>
    </row>
    <row r="2" spans="1:6" x14ac:dyDescent="0.3">
      <c r="A2" s="7" t="s">
        <v>88</v>
      </c>
    </row>
    <row r="3" spans="1:6" x14ac:dyDescent="0.3">
      <c r="A3" s="3" t="s">
        <v>89</v>
      </c>
      <c r="B3" s="3" t="s">
        <v>90</v>
      </c>
      <c r="C3" s="3" t="s">
        <v>91</v>
      </c>
      <c r="E3" s="2" t="s">
        <v>92</v>
      </c>
    </row>
    <row r="4" spans="1:6" x14ac:dyDescent="0.3">
      <c r="A4" s="4" t="s">
        <v>93</v>
      </c>
      <c r="B4" s="11">
        <v>150</v>
      </c>
      <c r="C4" s="7" t="s">
        <v>94</v>
      </c>
      <c r="E4" s="2" t="s">
        <v>95</v>
      </c>
      <c r="F4" s="6"/>
    </row>
    <row r="5" spans="1:6" x14ac:dyDescent="0.3">
      <c r="A5" s="4" t="s">
        <v>96</v>
      </c>
      <c r="B5" s="11">
        <v>2000</v>
      </c>
      <c r="C5" s="7" t="s">
        <v>97</v>
      </c>
      <c r="E5" s="2" t="s">
        <v>98</v>
      </c>
      <c r="F5" s="6"/>
    </row>
    <row r="6" spans="1:6" x14ac:dyDescent="0.3">
      <c r="A6" s="4" t="s">
        <v>99</v>
      </c>
      <c r="B6" s="11">
        <v>8</v>
      </c>
      <c r="C6" s="7" t="s">
        <v>97</v>
      </c>
      <c r="E6" s="2" t="s">
        <v>100</v>
      </c>
      <c r="F6" s="6"/>
    </row>
    <row r="7" spans="1:6" x14ac:dyDescent="0.3">
      <c r="A7" s="4" t="s">
        <v>101</v>
      </c>
      <c r="B7" s="11">
        <v>60</v>
      </c>
      <c r="C7" s="7" t="s">
        <v>102</v>
      </c>
      <c r="E7" s="2" t="s">
        <v>103</v>
      </c>
      <c r="F7" s="6"/>
    </row>
    <row r="8" spans="1:6" x14ac:dyDescent="0.3">
      <c r="A8" s="4" t="s">
        <v>104</v>
      </c>
      <c r="B8" s="11">
        <v>40000</v>
      </c>
      <c r="C8" s="7" t="s">
        <v>105</v>
      </c>
    </row>
    <row r="10" spans="1:6" x14ac:dyDescent="0.3">
      <c r="A10" s="3" t="s">
        <v>106</v>
      </c>
      <c r="B10" s="3" t="s">
        <v>90</v>
      </c>
      <c r="C10" s="3" t="s">
        <v>107</v>
      </c>
    </row>
    <row r="11" spans="1:6" x14ac:dyDescent="0.3">
      <c r="A11" s="4" t="s">
        <v>108</v>
      </c>
      <c r="B11" s="12">
        <f>B5-B6*B4</f>
        <v>800</v>
      </c>
      <c r="C11" s="7" t="s">
        <v>109</v>
      </c>
    </row>
    <row r="12" spans="1:6" x14ac:dyDescent="0.3">
      <c r="A12" s="4" t="s">
        <v>110</v>
      </c>
      <c r="B12" s="12">
        <f>B4*B11</f>
        <v>120000</v>
      </c>
      <c r="C12" s="7" t="s">
        <v>111</v>
      </c>
    </row>
    <row r="13" spans="1:6" x14ac:dyDescent="0.3">
      <c r="A13" s="4" t="s">
        <v>112</v>
      </c>
      <c r="B13" s="12">
        <f>B7*B11</f>
        <v>48000</v>
      </c>
      <c r="C13" s="7" t="s">
        <v>113</v>
      </c>
    </row>
    <row r="14" spans="1:6" x14ac:dyDescent="0.3">
      <c r="A14" s="4" t="s">
        <v>114</v>
      </c>
      <c r="B14" s="12">
        <f>B8</f>
        <v>40000</v>
      </c>
      <c r="C14" s="7" t="s">
        <v>115</v>
      </c>
    </row>
    <row r="15" spans="1:6" x14ac:dyDescent="0.3">
      <c r="A15" s="13" t="s">
        <v>116</v>
      </c>
      <c r="B15" s="12">
        <f>B12-B13-B14</f>
        <v>32000</v>
      </c>
      <c r="C15" s="7" t="s">
        <v>117</v>
      </c>
    </row>
    <row r="18" spans="1:11" ht="18" x14ac:dyDescent="0.35">
      <c r="A18" s="1" t="s">
        <v>118</v>
      </c>
      <c r="F18" s="1" t="s">
        <v>119</v>
      </c>
    </row>
    <row r="19" spans="1:11" x14ac:dyDescent="0.3">
      <c r="A19" s="7" t="s">
        <v>120</v>
      </c>
      <c r="F19" s="7" t="s">
        <v>121</v>
      </c>
    </row>
    <row r="20" spans="1:11" ht="28.8" x14ac:dyDescent="0.3">
      <c r="A20" s="3" t="s">
        <v>122</v>
      </c>
      <c r="B20" s="3" t="s">
        <v>123</v>
      </c>
      <c r="C20" s="3" t="s">
        <v>124</v>
      </c>
      <c r="D20" s="3" t="s">
        <v>125</v>
      </c>
      <c r="F20" s="3" t="s">
        <v>126</v>
      </c>
      <c r="G20" s="3" t="s">
        <v>127</v>
      </c>
      <c r="H20" s="3"/>
      <c r="I20" s="3"/>
      <c r="J20" s="3"/>
      <c r="K20" s="3"/>
    </row>
    <row r="21" spans="1:11" x14ac:dyDescent="0.3">
      <c r="A21" s="4"/>
      <c r="B21" s="14">
        <f>B11</f>
        <v>800</v>
      </c>
      <c r="C21" s="14">
        <f>B12</f>
        <v>120000</v>
      </c>
      <c r="D21" s="14">
        <f>B15</f>
        <v>32000</v>
      </c>
      <c r="F21" s="14">
        <f>B15</f>
        <v>32000</v>
      </c>
      <c r="G21" s="15">
        <v>40</v>
      </c>
      <c r="H21" s="15">
        <v>50</v>
      </c>
      <c r="I21" s="15">
        <v>60</v>
      </c>
      <c r="J21" s="15">
        <v>70</v>
      </c>
      <c r="K21" s="15">
        <v>80</v>
      </c>
    </row>
    <row r="22" spans="1:11" x14ac:dyDescent="0.3">
      <c r="A22" s="5">
        <v>100</v>
      </c>
      <c r="B22" s="16"/>
      <c r="C22" s="16"/>
      <c r="D22" s="16"/>
      <c r="F22" s="15">
        <v>100</v>
      </c>
      <c r="G22" s="16"/>
      <c r="H22" s="16"/>
      <c r="I22" s="16"/>
      <c r="J22" s="16"/>
      <c r="K22" s="16"/>
    </row>
    <row r="23" spans="1:11" x14ac:dyDescent="0.3">
      <c r="A23" s="5">
        <v>110</v>
      </c>
      <c r="B23" s="16"/>
      <c r="C23" s="16"/>
      <c r="D23" s="16"/>
      <c r="F23" s="15">
        <v>110</v>
      </c>
      <c r="G23" s="16"/>
      <c r="H23" s="16"/>
      <c r="I23" s="16"/>
      <c r="J23" s="16"/>
      <c r="K23" s="16"/>
    </row>
    <row r="24" spans="1:11" x14ac:dyDescent="0.3">
      <c r="A24" s="5">
        <v>120</v>
      </c>
      <c r="B24" s="16"/>
      <c r="C24" s="16"/>
      <c r="D24" s="16"/>
      <c r="F24" s="15">
        <v>120</v>
      </c>
      <c r="G24" s="16"/>
      <c r="H24" s="16"/>
      <c r="I24" s="16"/>
      <c r="J24" s="16"/>
      <c r="K24" s="16"/>
    </row>
    <row r="25" spans="1:11" x14ac:dyDescent="0.3">
      <c r="A25" s="5">
        <v>130</v>
      </c>
      <c r="B25" s="16"/>
      <c r="C25" s="16"/>
      <c r="D25" s="16"/>
      <c r="F25" s="15">
        <v>130</v>
      </c>
      <c r="G25" s="16"/>
      <c r="H25" s="16"/>
      <c r="I25" s="16"/>
      <c r="J25" s="16"/>
      <c r="K25" s="16"/>
    </row>
    <row r="26" spans="1:11" x14ac:dyDescent="0.3">
      <c r="A26" s="5">
        <v>140</v>
      </c>
      <c r="B26" s="16"/>
      <c r="C26" s="16"/>
      <c r="D26" s="16"/>
      <c r="F26" s="15">
        <v>140</v>
      </c>
      <c r="G26" s="16"/>
      <c r="H26" s="16"/>
      <c r="I26" s="16"/>
      <c r="J26" s="16"/>
      <c r="K26" s="16"/>
    </row>
    <row r="27" spans="1:11" x14ac:dyDescent="0.3">
      <c r="A27" s="5">
        <v>150</v>
      </c>
      <c r="B27" s="16"/>
      <c r="C27" s="16"/>
      <c r="D27" s="16"/>
      <c r="F27" s="15">
        <v>150</v>
      </c>
      <c r="G27" s="16"/>
      <c r="H27" s="16"/>
      <c r="I27" s="16"/>
      <c r="J27" s="16"/>
      <c r="K27" s="16"/>
    </row>
    <row r="28" spans="1:11" x14ac:dyDescent="0.3">
      <c r="A28" s="5">
        <v>160</v>
      </c>
      <c r="B28" s="16"/>
      <c r="C28" s="16"/>
      <c r="D28" s="16"/>
      <c r="F28" s="15">
        <v>160</v>
      </c>
      <c r="G28" s="16"/>
      <c r="H28" s="16"/>
      <c r="I28" s="16"/>
      <c r="J28" s="16"/>
      <c r="K28" s="16"/>
    </row>
    <row r="29" spans="1:11" x14ac:dyDescent="0.3">
      <c r="A29" s="5">
        <v>170</v>
      </c>
      <c r="B29" s="16"/>
      <c r="C29" s="16"/>
      <c r="D29" s="16"/>
      <c r="F29" s="15">
        <v>170</v>
      </c>
      <c r="G29" s="16"/>
      <c r="H29" s="16"/>
      <c r="I29" s="16"/>
      <c r="J29" s="16"/>
      <c r="K29" s="16"/>
    </row>
    <row r="30" spans="1:11" x14ac:dyDescent="0.3">
      <c r="A30" s="5">
        <v>180</v>
      </c>
      <c r="B30" s="16"/>
      <c r="C30" s="16"/>
      <c r="D30" s="16"/>
      <c r="F30" s="15">
        <v>180</v>
      </c>
      <c r="G30" s="16"/>
      <c r="H30" s="16"/>
      <c r="I30" s="16"/>
      <c r="J30" s="16"/>
      <c r="K30" s="16"/>
    </row>
    <row r="31" spans="1:11" x14ac:dyDescent="0.3">
      <c r="A31" s="5">
        <v>190</v>
      </c>
      <c r="B31" s="16"/>
      <c r="C31" s="16"/>
      <c r="D31" s="16"/>
      <c r="F31" s="15">
        <v>190</v>
      </c>
      <c r="G31" s="16"/>
      <c r="H31" s="16"/>
      <c r="I31" s="16"/>
      <c r="J31" s="16"/>
      <c r="K31" s="16"/>
    </row>
    <row r="32" spans="1:11" x14ac:dyDescent="0.3">
      <c r="A32" s="5">
        <v>200</v>
      </c>
      <c r="B32" s="16"/>
      <c r="C32" s="16"/>
      <c r="D32" s="16"/>
      <c r="F32" s="15">
        <v>200</v>
      </c>
      <c r="G32" s="16"/>
      <c r="H32" s="16"/>
      <c r="I32" s="16"/>
      <c r="J32" s="16"/>
      <c r="K32" s="16"/>
    </row>
    <row r="33" spans="1:11" x14ac:dyDescent="0.3">
      <c r="A33" s="5">
        <v>210</v>
      </c>
      <c r="B33" s="16"/>
      <c r="C33" s="16"/>
      <c r="D33" s="16"/>
      <c r="F33" s="15">
        <v>210</v>
      </c>
      <c r="G33" s="16"/>
      <c r="H33" s="16"/>
      <c r="I33" s="16"/>
      <c r="J33" s="16"/>
      <c r="K33" s="16"/>
    </row>
    <row r="34" spans="1:11" x14ac:dyDescent="0.3">
      <c r="A34" s="5">
        <v>220</v>
      </c>
      <c r="B34" s="16"/>
      <c r="C34" s="16"/>
      <c r="D34" s="16"/>
      <c r="F34" s="15">
        <v>220</v>
      </c>
      <c r="G34" s="16"/>
      <c r="H34" s="16"/>
      <c r="I34" s="16"/>
      <c r="J34" s="16"/>
      <c r="K34" s="16"/>
    </row>
    <row r="35" spans="1:11" x14ac:dyDescent="0.3">
      <c r="A35" s="7" t="s">
        <v>128</v>
      </c>
      <c r="F35" s="7" t="s">
        <v>129</v>
      </c>
    </row>
    <row r="38" spans="1:11" ht="18" x14ac:dyDescent="0.35">
      <c r="A38" s="1" t="s">
        <v>130</v>
      </c>
    </row>
    <row r="39" spans="1:11" x14ac:dyDescent="0.3">
      <c r="A39" s="3" t="s">
        <v>131</v>
      </c>
      <c r="B39" s="3" t="s">
        <v>132</v>
      </c>
      <c r="C39" s="3" t="s">
        <v>133</v>
      </c>
      <c r="D39" s="3" t="s">
        <v>115</v>
      </c>
      <c r="E39" s="3" t="s">
        <v>134</v>
      </c>
    </row>
    <row r="40" spans="1:11" x14ac:dyDescent="0.3">
      <c r="A40" s="4" t="s">
        <v>135</v>
      </c>
      <c r="B40" s="5">
        <v>1800</v>
      </c>
      <c r="C40" s="5">
        <v>70</v>
      </c>
      <c r="D40" s="5">
        <v>45000</v>
      </c>
      <c r="E40" s="16"/>
    </row>
    <row r="41" spans="1:11" x14ac:dyDescent="0.3">
      <c r="A41" s="4" t="s">
        <v>136</v>
      </c>
      <c r="B41" s="5">
        <v>2000</v>
      </c>
      <c r="C41" s="5">
        <v>60</v>
      </c>
      <c r="D41" s="5">
        <v>40000</v>
      </c>
      <c r="E41" s="16"/>
    </row>
    <row r="42" spans="1:11" x14ac:dyDescent="0.3">
      <c r="A42" s="4" t="s">
        <v>137</v>
      </c>
      <c r="B42" s="5">
        <v>2200</v>
      </c>
      <c r="C42" s="5">
        <v>55</v>
      </c>
      <c r="D42" s="5">
        <v>40000</v>
      </c>
      <c r="E42" s="16"/>
    </row>
    <row r="43" spans="1:11" x14ac:dyDescent="0.3">
      <c r="A43" s="7" t="s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Инструкция</vt:lpstr>
      <vt:lpstr>1_Регрессия</vt:lpstr>
      <vt:lpstr>2_Временной_ряд</vt:lpstr>
      <vt:lpstr>3_What-if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Martina Joe</cp:lastModifiedBy>
  <dcterms:created xsi:type="dcterms:W3CDTF">2026-09-17T07:57:57Z</dcterms:created>
  <dcterms:modified xsi:type="dcterms:W3CDTF">2026-09-17T07:58:02Z</dcterms:modified>
</cp:coreProperties>
</file>